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ustomer_Profile" sheetId="2" state="visible" r:id="rId4"/>
    <sheet name="Platform_Activity" sheetId="3" state="visible" r:id="rId5"/>
    <sheet name="TM_Alert" sheetId="4" state="visible" r:id="rId6"/>
    <sheet name="Wallet_Risk_Screening" sheetId="5" state="visible" r:id="rId7"/>
    <sheet name="Investigation_Workpaper" sheetId="6" state="visible" r:id="rId8"/>
  </sheets>
  <definedNames>
    <definedName function="false" hidden="true" localSheetId="2" name="_xlnm._FilterDatabase" vbProcedure="false">Platform_Activity!$A$1:$G$26</definedName>
    <definedName function="false" hidden="true" localSheetId="4" name="_xlnm._FilterDatabase" vbProcedure="false">Wallet_Risk_Screening!$A$1:$F$4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<sst xmlns="http://schemas.openxmlformats.org/spreadsheetml/2006/main" count="232" uniqueCount="146">
  <si>
    <t xml:space="preserve">Crypto Transaction Monitoring Case Study</t>
  </si>
  <si>
    <t xml:space="preserve">A complete, single-case walkthrough of a crypto exchange transaction-monitoring program — from customer onboarding through alert investigation to a risk-based disposition. Built entirely in Excel formulas. No Python, no SQL, no VBA.</t>
  </si>
  <si>
    <t xml:space="preserve">DATA NOTE: the customer, all wallet addresses, and 'Chain Analytics Co' (the wallet-screening vendor) are entirely fictional. No real person, wallet, or blockchain analytics company is referenced.</t>
  </si>
  <si>
    <t xml:space="preserve">How to use this workbook — the sheets are ordered to match the actual case lifecycle:</t>
  </si>
  <si>
    <t xml:space="preserve">  1. 'Customer_Profile' — what the customer told the exchange at onboarding (KYC).</t>
  </si>
  <si>
    <t xml:space="preserve">  2. 'Platform_Activity' — what the customer actually did on the platform, month by month.</t>
  </si>
  <si>
    <t xml:space="preserve">  3. 'TM_Alert' — the transaction-monitoring alert that triggered on this activity.</t>
  </si>
  <si>
    <t xml:space="preserve">  4. 'Wallet_Risk_Screening' — third-party blockchain analytics results for every external wallet the customer's funds touched.</t>
  </si>
  <si>
    <t xml:space="preserve">  5. 'Investigation_Workpaper' — the analytical engine: profile vs. actual activity variance, payment-channel analysis, structuring detection, wallet risk integration, a computed case risk score, and the final risk-based disposition. Every number here is a live formula.</t>
  </si>
  <si>
    <t xml:space="preserve">The core investigative question this case study answers: does what this customer actually did on the platform match what they told the exchange they would do — and if not, by how much, and does the destination of the funds make that gap explainable or alarming?</t>
  </si>
  <si>
    <t xml:space="preserve">Key formulas used (all standard Excel, no add-ins, no VBA):</t>
  </si>
  <si>
    <t xml:space="preserve">  - SUMIFS with date-range criteria — computing monthly deposit totals from a flat transaction list, for the profile-vs-actual comparison.</t>
  </si>
  <si>
    <t xml:space="preserve">  - COUNTIFS — detecting a structuring pattern (multiple deposits just under a round reporting-adjacent threshold within one month) and counting payment-method usage by period.</t>
  </si>
  <si>
    <t xml:space="preserve">  - INDEX/MATCH — resolving each withdrawal's destination wallet into its Chain Analytics Co risk category.</t>
  </si>
  <si>
    <t xml:space="preserve">  - Nested IF — converting the volume-deviation percentage, worst wallet risk category, and the structuring/channel-shift flags into a single weighted case risk score and a plain-English disposition.</t>
  </si>
  <si>
    <t xml:space="preserve">  - Conditional formatting — flagging the Severe/High risk wallet rows directly in the data.</t>
  </si>
  <si>
    <t xml:space="preserve">Customer Profile (KYC at Onboarding)</t>
  </si>
  <si>
    <t xml:space="preserve">customer_id</t>
  </si>
  <si>
    <t xml:space="preserve">CX-2025-0847</t>
  </si>
  <si>
    <t xml:space="preserve">customer_name</t>
  </si>
  <si>
    <t xml:space="preserve">Alex Mercer</t>
  </si>
  <si>
    <t xml:space="preserve">date_of_birth</t>
  </si>
  <si>
    <t xml:space="preserve">1989-04-12</t>
  </si>
  <si>
    <t xml:space="preserve">country_of_residence</t>
  </si>
  <si>
    <t xml:space="preserve">United States</t>
  </si>
  <si>
    <t xml:space="preserve">occupation</t>
  </si>
  <si>
    <t xml:space="preserve">Freelance Graphic Designer</t>
  </si>
  <si>
    <t xml:space="preserve">stated_source_of_funds</t>
  </si>
  <si>
    <t xml:space="preserve">Freelance/consulting income</t>
  </si>
  <si>
    <t xml:space="preserve">stated_purpose_of_account</t>
  </si>
  <si>
    <t xml:space="preserve">Personal investment in cryptocurrency</t>
  </si>
  <si>
    <t xml:space="preserve">stated_expected_monthly_volume_min_usd</t>
  </si>
  <si>
    <t xml:space="preserve">stated_expected_monthly_volume_max_usd</t>
  </si>
  <si>
    <t xml:space="preserve">onboarding_date</t>
  </si>
  <si>
    <t xml:space="preserve">2025-08-01</t>
  </si>
  <si>
    <t xml:space="preserve">initial_risk_rating</t>
  </si>
  <si>
    <t xml:space="preserve">Medium</t>
  </si>
  <si>
    <t xml:space="preserve">id_verification_method</t>
  </si>
  <si>
    <t xml:space="preserve">Government ID + Liveness Check</t>
  </si>
  <si>
    <t xml:space="preserve">declared_personal_wallet_address</t>
  </si>
  <si>
    <t xml:space="preserve">0x94ac26f9b7f9fab8dea8003a11452eee891e77f5</t>
  </si>
  <si>
    <t xml:space="preserve">declared_wallet_verification</t>
  </si>
  <si>
    <t xml:space="preserve">Ownership verified via signed message challenge at onboarding</t>
  </si>
  <si>
    <t xml:space="preserve">transaction_id</t>
  </si>
  <si>
    <t xml:space="preserve">date</t>
  </si>
  <si>
    <t xml:space="preserve">type</t>
  </si>
  <si>
    <t xml:space="preserve">asset</t>
  </si>
  <si>
    <t xml:space="preserve">amount_usd</t>
  </si>
  <si>
    <t xml:space="preserve">method_or_counterparty</t>
  </si>
  <si>
    <t xml:space="preserve">notes</t>
  </si>
  <si>
    <t xml:space="preserve">TX-001</t>
  </si>
  <si>
    <t xml:space="preserve">Fiat Deposit</t>
  </si>
  <si>
    <t xml:space="preserve">USD</t>
  </si>
  <si>
    <t xml:space="preserve">ACH Bank Transfer</t>
  </si>
  <si>
    <t xml:space="preserve">TX-002</t>
  </si>
  <si>
    <t xml:space="preserve">Crypto Buy</t>
  </si>
  <si>
    <t xml:space="preserve">BTC</t>
  </si>
  <si>
    <t xml:space="preserve">Platform Trade</t>
  </si>
  <si>
    <t xml:space="preserve">TX-003</t>
  </si>
  <si>
    <t xml:space="preserve">TX-004</t>
  </si>
  <si>
    <t xml:space="preserve">ETH</t>
  </si>
  <si>
    <t xml:space="preserve">TX-005</t>
  </si>
  <si>
    <t xml:space="preserve">TX-006</t>
  </si>
  <si>
    <t xml:space="preserve">TX-007</t>
  </si>
  <si>
    <t xml:space="preserve">TX-008</t>
  </si>
  <si>
    <t xml:space="preserve">Crypto Withdrawal</t>
  </si>
  <si>
    <t xml:space="preserve">To declared personal wallet</t>
  </si>
  <si>
    <t xml:space="preserve">TX-009</t>
  </si>
  <si>
    <t xml:space="preserve">TX-010</t>
  </si>
  <si>
    <t xml:space="preserve">TX-011</t>
  </si>
  <si>
    <t xml:space="preserve">TX-012</t>
  </si>
  <si>
    <t xml:space="preserve">TX-013</t>
  </si>
  <si>
    <t xml:space="preserve">TX-014</t>
  </si>
  <si>
    <t xml:space="preserve">Wire Transfer</t>
  </si>
  <si>
    <t xml:space="preserve">Payment method change: first wire, not ACH</t>
  </si>
  <si>
    <t xml:space="preserve">TX-015</t>
  </si>
  <si>
    <t xml:space="preserve">TX-016</t>
  </si>
  <si>
    <t xml:space="preserve">TX-017</t>
  </si>
  <si>
    <t xml:space="preserve">TX-018</t>
  </si>
  <si>
    <t xml:space="preserve">TX-019</t>
  </si>
  <si>
    <t xml:space="preserve">TX-020</t>
  </si>
  <si>
    <t xml:space="preserve">TX-021</t>
  </si>
  <si>
    <t xml:space="preserve">TX-022</t>
  </si>
  <si>
    <t xml:space="preserve">TX-023</t>
  </si>
  <si>
    <t xml:space="preserve">0xd32fca24e8114256e8f422605e62ecba47a580f2</t>
  </si>
  <si>
    <t xml:space="preserve">To previously unseen external wallet</t>
  </si>
  <si>
    <t xml:space="preserve">TX-024</t>
  </si>
  <si>
    <t xml:space="preserve">0xe56abba9fc5b65775b78642c79c1db2db930f65f</t>
  </si>
  <si>
    <t xml:space="preserve">TX-025</t>
  </si>
  <si>
    <t xml:space="preserve">Transaction-Monitoring Alert</t>
  </si>
  <si>
    <t xml:space="preserve">alert_id</t>
  </si>
  <si>
    <t xml:space="preserve">TM-ALERT-88213</t>
  </si>
  <si>
    <t xml:space="preserve">alert_date</t>
  </si>
  <si>
    <t xml:space="preserve">2025-11-14</t>
  </si>
  <si>
    <t xml:space="preserve">alert_type</t>
  </si>
  <si>
    <t xml:space="preserve">Deposit Velocity + Adverse Wallet Screening (Combined Rule)</t>
  </si>
  <si>
    <t xml:space="preserve">triggering_rule_1</t>
  </si>
  <si>
    <t xml:space="preserve">Monthly deposit volume &gt; 300% of rolling 3-month average</t>
  </si>
  <si>
    <t xml:space="preserve">triggering_rule_2</t>
  </si>
  <si>
    <t xml:space="preserve">Withdrawal to wallet with Chain Analytics Co risk score &gt;= 70 (High/Severe)</t>
  </si>
  <si>
    <t xml:space="preserve">transactions_involved</t>
  </si>
  <si>
    <t xml:space="preserve">TX-014 through TX-025</t>
  </si>
  <si>
    <t xml:space="preserve">alert_priority</t>
  </si>
  <si>
    <t xml:space="preserve">High</t>
  </si>
  <si>
    <t xml:space="preserve">assigned_analyst</t>
  </si>
  <si>
    <t xml:space="preserve">Jordan Ellis</t>
  </si>
  <si>
    <t xml:space="preserve">wallet_address</t>
  </si>
  <si>
    <t xml:space="preserve">screening_provider</t>
  </si>
  <si>
    <t xml:space="preserve">risk_score</t>
  </si>
  <si>
    <t xml:space="preserve">risk_category</t>
  </si>
  <si>
    <t xml:space="preserve">exposure_type</t>
  </si>
  <si>
    <t xml:space="preserve">last_screened_date</t>
  </si>
  <si>
    <t xml:space="preserve">Chain Analytics Co</t>
  </si>
  <si>
    <t xml:space="preserve">Low</t>
  </si>
  <si>
    <t xml:space="preserve">None - customer-attributed wallet, ownership verified</t>
  </si>
  <si>
    <t xml:space="preserve">Severe</t>
  </si>
  <si>
    <t xml:space="preserve">Direct: Darknet Marketplace</t>
  </si>
  <si>
    <t xml:space="preserve">Indirect: Mixing Service (2 hops)</t>
  </si>
  <si>
    <t xml:space="preserve">Investigation Workpaper</t>
  </si>
  <si>
    <t xml:space="preserve">1. Profile vs. Actual Activity</t>
  </si>
  <si>
    <t xml:space="preserve">Stated expected monthly volume (min)</t>
  </si>
  <si>
    <t xml:space="preserve">Stated expected monthly volume (max)</t>
  </si>
  <si>
    <t xml:space="preserve">Actual deposit volume — August 2025</t>
  </si>
  <si>
    <t xml:space="preserve">Actual deposit volume — September 2025</t>
  </si>
  <si>
    <t xml:space="preserve">Actual deposit volume — October 2025</t>
  </si>
  <si>
    <t xml:space="preserve">3-month rolling average (Aug–Oct)</t>
  </si>
  <si>
    <t xml:space="preserve">Actual deposit volume — November 2025 (alert month)</t>
  </si>
  <si>
    <t xml:space="preserve">November variance vs. 3-month average</t>
  </si>
  <si>
    <t xml:space="preserve">Flag: volume deviation &gt; 300% of average?</t>
  </si>
  <si>
    <t xml:space="preserve">2. Payment Channel Analysis</t>
  </si>
  <si>
    <t xml:space="preserve">ACH deposits, Aug–Oct (baseline channel)</t>
  </si>
  <si>
    <t xml:space="preserve">Wire deposits, November (new channel)</t>
  </si>
  <si>
    <t xml:space="preserve">Flag: new, higher-limit payment channel introduced with volume spike?</t>
  </si>
  <si>
    <t xml:space="preserve">3. Structuring Analysis</t>
  </si>
  <si>
    <t xml:space="preserve">November deposits between $9,000–$9,999.99</t>
  </si>
  <si>
    <t xml:space="preserve">Flag: 3+ deposits clustered just under $10,000?</t>
  </si>
  <si>
    <t xml:space="preserve">4. Wallet Analysis — November Crypto Withdrawals</t>
  </si>
  <si>
    <t xml:space="preserve">destination_wallet</t>
  </si>
  <si>
    <t xml:space="preserve">Worst wallet risk category among November withdrawals</t>
  </si>
  <si>
    <t xml:space="preserve">5. Case Risk Score &amp; Disposition</t>
  </si>
  <si>
    <t xml:space="preserve">Points — volume deviation flag</t>
  </si>
  <si>
    <t xml:space="preserve">Points — worst wallet risk category</t>
  </si>
  <si>
    <t xml:space="preserve">Points — structuring flag</t>
  </si>
  <si>
    <t xml:space="preserve">Points — payment channel shift flag</t>
  </si>
  <si>
    <t xml:space="preserve">TOTAL CASE RISK SCORE</t>
  </si>
  <si>
    <t xml:space="preserve">RISK-BASED DISPOSITION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</si>
</sst>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"/>
    <numFmt numFmtId="167" formatCode="0%"/>
    <numFmt numFmtId="168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9"/>
      <name val="Consolas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2"/>
      <color rgb="FF9C0006"/>
      <name val="Arial"/>
      <family val="0"/>
      <charset val="1"/>
    </font>
    <font>
      <b val="true"/>
      <sz val="11"/>
      <color rgb="FF9C000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5"/>
  </cols>
  <sheetData>
    <row r="1" customFormat="false" ht="17.35" hidden="false" customHeight="false" outlineLevel="0" collapsed="false">
      <c r="A1" s="2" t="s">
        <v>0</v>
      </c>
    </row>
    <row r="3" customFormat="false" ht="23.8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/>
    </row>
    <row r="5" customFormat="false" ht="23.8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3" t="s">
        <v>3</v>
      </c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  <row r="12" customFormat="false" ht="35.0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/>
    </row>
    <row r="14" customFormat="false" ht="35.0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10</v>
      </c>
    </row>
    <row r="17" customFormat="false" ht="23.85" hidden="false" customHeight="false" outlineLevel="0" collapsed="false">
      <c r="A17" s="3" t="s">
        <v>11</v>
      </c>
    </row>
    <row r="18" customFormat="false" ht="23.85" hidden="false" customHeight="false" outlineLevel="0" collapsed="false">
      <c r="A18" s="3" t="s">
        <v>12</v>
      </c>
    </row>
    <row r="19" customFormat="false" ht="15" hidden="false" customHeight="false" outlineLevel="0" collapsed="false">
      <c r="A19" s="3" t="s">
        <v>13</v>
      </c>
    </row>
    <row r="20" customFormat="false" ht="23.8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60"/>
  </cols>
  <sheetData>
    <row r="1" customFormat="false" ht="17.35" hidden="false" customHeight="false" outlineLevel="0" collapsed="false">
      <c r="A1" s="2" t="s">
        <v>16</v>
      </c>
    </row>
    <row r="3" customFormat="false" ht="15" hidden="false" customHeight="false" outlineLevel="0" collapsed="false">
      <c r="A3" s="4" t="s">
        <v>17</v>
      </c>
      <c r="B3" s="3" t="s">
        <v>18</v>
      </c>
    </row>
    <row r="4" customFormat="false" ht="15" hidden="false" customHeight="false" outlineLevel="0" collapsed="false">
      <c r="A4" s="4" t="s">
        <v>19</v>
      </c>
      <c r="B4" s="3" t="s">
        <v>20</v>
      </c>
    </row>
    <row r="5" customFormat="false" ht="15" hidden="false" customHeight="false" outlineLevel="0" collapsed="false">
      <c r="A5" s="4" t="s">
        <v>21</v>
      </c>
      <c r="B5" s="3" t="s">
        <v>22</v>
      </c>
    </row>
    <row r="6" customFormat="false" ht="15" hidden="false" customHeight="false" outlineLevel="0" collapsed="false">
      <c r="A6" s="4" t="s">
        <v>23</v>
      </c>
      <c r="B6" s="3" t="s">
        <v>24</v>
      </c>
    </row>
    <row r="7" customFormat="false" ht="15" hidden="false" customHeight="false" outlineLevel="0" collapsed="false">
      <c r="A7" s="4" t="s">
        <v>25</v>
      </c>
      <c r="B7" s="3" t="s">
        <v>26</v>
      </c>
    </row>
    <row r="8" customFormat="false" ht="15" hidden="false" customHeight="false" outlineLevel="0" collapsed="false">
      <c r="A8" s="4" t="s">
        <v>27</v>
      </c>
      <c r="B8" s="3" t="s">
        <v>28</v>
      </c>
    </row>
    <row r="9" customFormat="false" ht="15" hidden="false" customHeight="false" outlineLevel="0" collapsed="false">
      <c r="A9" s="4" t="s">
        <v>29</v>
      </c>
      <c r="B9" s="3" t="s">
        <v>30</v>
      </c>
    </row>
    <row r="10" customFormat="false" ht="15" hidden="false" customHeight="false" outlineLevel="0" collapsed="false">
      <c r="A10" s="4" t="s">
        <v>31</v>
      </c>
      <c r="B10" s="3" t="n">
        <v>4000</v>
      </c>
    </row>
    <row r="11" customFormat="false" ht="15" hidden="false" customHeight="false" outlineLevel="0" collapsed="false">
      <c r="A11" s="4" t="s">
        <v>32</v>
      </c>
      <c r="B11" s="3" t="n">
        <v>6000</v>
      </c>
    </row>
    <row r="12" customFormat="false" ht="15" hidden="false" customHeight="false" outlineLevel="0" collapsed="false">
      <c r="A12" s="4" t="s">
        <v>33</v>
      </c>
      <c r="B12" s="3" t="s">
        <v>34</v>
      </c>
    </row>
    <row r="13" customFormat="false" ht="15" hidden="false" customHeight="false" outlineLevel="0" collapsed="false">
      <c r="A13" s="4" t="s">
        <v>35</v>
      </c>
      <c r="B13" s="3" t="s">
        <v>36</v>
      </c>
    </row>
    <row r="14" customFormat="false" ht="15" hidden="false" customHeight="false" outlineLevel="0" collapsed="false">
      <c r="A14" s="4" t="s">
        <v>37</v>
      </c>
      <c r="B14" s="3" t="s">
        <v>38</v>
      </c>
    </row>
    <row r="15" customFormat="false" ht="15" hidden="false" customHeight="false" outlineLevel="0" collapsed="false">
      <c r="A15" s="4" t="s">
        <v>39</v>
      </c>
      <c r="B15" s="5" t="s">
        <v>40</v>
      </c>
    </row>
    <row r="16" customFormat="false" ht="15" hidden="false" customHeight="false" outlineLevel="0" collapsed="false">
      <c r="A16" s="4" t="s">
        <v>41</v>
      </c>
      <c r="B16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44"/>
    <col collapsed="false" customWidth="true" hidden="false" outlineLevel="0" max="7" min="7" style="1" width="40"/>
  </cols>
  <sheetData>
    <row r="1" customFormat="false" ht="23.85" hidden="false" customHeight="false" outlineLevel="0" collapsed="false">
      <c r="A1" s="6" t="s">
        <v>43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</row>
    <row r="2" customFormat="false" ht="15" hidden="false" customHeight="false" outlineLevel="0" collapsed="false">
      <c r="A2" s="7" t="s">
        <v>50</v>
      </c>
      <c r="B2" s="8" t="n">
        <v>45872</v>
      </c>
      <c r="C2" s="7" t="s">
        <v>51</v>
      </c>
      <c r="D2" s="7" t="s">
        <v>52</v>
      </c>
      <c r="E2" s="9" t="n">
        <v>2000</v>
      </c>
      <c r="F2" s="7" t="s">
        <v>53</v>
      </c>
      <c r="G2" s="7"/>
    </row>
    <row r="3" customFormat="false" ht="15" hidden="false" customHeight="false" outlineLevel="0" collapsed="false">
      <c r="A3" s="7" t="s">
        <v>54</v>
      </c>
      <c r="B3" s="8" t="n">
        <v>45874</v>
      </c>
      <c r="C3" s="7" t="s">
        <v>55</v>
      </c>
      <c r="D3" s="7" t="s">
        <v>56</v>
      </c>
      <c r="E3" s="9" t="n">
        <v>1800</v>
      </c>
      <c r="F3" s="7" t="s">
        <v>57</v>
      </c>
      <c r="G3" s="7"/>
    </row>
    <row r="4" customFormat="false" ht="15" hidden="false" customHeight="false" outlineLevel="0" collapsed="false">
      <c r="A4" s="7" t="s">
        <v>58</v>
      </c>
      <c r="B4" s="8" t="n">
        <v>45889</v>
      </c>
      <c r="C4" s="7" t="s">
        <v>51</v>
      </c>
      <c r="D4" s="7" t="s">
        <v>52</v>
      </c>
      <c r="E4" s="9" t="n">
        <v>2500</v>
      </c>
      <c r="F4" s="7" t="s">
        <v>53</v>
      </c>
      <c r="G4" s="7"/>
    </row>
    <row r="5" customFormat="false" ht="15" hidden="false" customHeight="false" outlineLevel="0" collapsed="false">
      <c r="A5" s="7" t="s">
        <v>59</v>
      </c>
      <c r="B5" s="8" t="n">
        <v>45891</v>
      </c>
      <c r="C5" s="7" t="s">
        <v>55</v>
      </c>
      <c r="D5" s="7" t="s">
        <v>60</v>
      </c>
      <c r="E5" s="9" t="n">
        <v>2200</v>
      </c>
      <c r="F5" s="7" t="s">
        <v>57</v>
      </c>
      <c r="G5" s="7"/>
    </row>
    <row r="6" customFormat="false" ht="15" hidden="false" customHeight="false" outlineLevel="0" collapsed="false">
      <c r="A6" s="7" t="s">
        <v>61</v>
      </c>
      <c r="B6" s="8" t="n">
        <v>45902</v>
      </c>
      <c r="C6" s="7" t="s">
        <v>51</v>
      </c>
      <c r="D6" s="7" t="s">
        <v>52</v>
      </c>
      <c r="E6" s="9" t="n">
        <v>3000</v>
      </c>
      <c r="F6" s="7" t="s">
        <v>53</v>
      </c>
      <c r="G6" s="7"/>
    </row>
    <row r="7" customFormat="false" ht="15" hidden="false" customHeight="false" outlineLevel="0" collapsed="false">
      <c r="A7" s="7" t="s">
        <v>62</v>
      </c>
      <c r="B7" s="8" t="n">
        <v>45904</v>
      </c>
      <c r="C7" s="7" t="s">
        <v>55</v>
      </c>
      <c r="D7" s="7" t="s">
        <v>56</v>
      </c>
      <c r="E7" s="9" t="n">
        <v>2800</v>
      </c>
      <c r="F7" s="7" t="s">
        <v>57</v>
      </c>
      <c r="G7" s="7"/>
    </row>
    <row r="8" customFormat="false" ht="15" hidden="false" customHeight="false" outlineLevel="0" collapsed="false">
      <c r="A8" s="7" t="s">
        <v>63</v>
      </c>
      <c r="B8" s="8" t="n">
        <v>45918</v>
      </c>
      <c r="C8" s="7" t="s">
        <v>51</v>
      </c>
      <c r="D8" s="7" t="s">
        <v>52</v>
      </c>
      <c r="E8" s="9" t="n">
        <v>2000</v>
      </c>
      <c r="F8" s="7" t="s">
        <v>53</v>
      </c>
      <c r="G8" s="7"/>
    </row>
    <row r="9" customFormat="false" ht="15" hidden="false" customHeight="false" outlineLevel="0" collapsed="false">
      <c r="A9" s="7" t="s">
        <v>64</v>
      </c>
      <c r="B9" s="8" t="n">
        <v>45919</v>
      </c>
      <c r="C9" s="7" t="s">
        <v>65</v>
      </c>
      <c r="D9" s="7" t="s">
        <v>56</v>
      </c>
      <c r="E9" s="9" t="n">
        <v>1900</v>
      </c>
      <c r="F9" s="10" t="s">
        <v>40</v>
      </c>
      <c r="G9" s="7" t="s">
        <v>66</v>
      </c>
    </row>
    <row r="10" customFormat="false" ht="15" hidden="false" customHeight="false" outlineLevel="0" collapsed="false">
      <c r="A10" s="7" t="s">
        <v>67</v>
      </c>
      <c r="B10" s="8" t="n">
        <v>45931</v>
      </c>
      <c r="C10" s="7" t="s">
        <v>51</v>
      </c>
      <c r="D10" s="7" t="s">
        <v>52</v>
      </c>
      <c r="E10" s="9" t="n">
        <v>3500</v>
      </c>
      <c r="F10" s="7" t="s">
        <v>53</v>
      </c>
      <c r="G10" s="7"/>
    </row>
    <row r="11" customFormat="false" ht="15" hidden="false" customHeight="false" outlineLevel="0" collapsed="false">
      <c r="A11" s="7" t="s">
        <v>68</v>
      </c>
      <c r="B11" s="8" t="n">
        <v>45933</v>
      </c>
      <c r="C11" s="7" t="s">
        <v>55</v>
      </c>
      <c r="D11" s="7" t="s">
        <v>60</v>
      </c>
      <c r="E11" s="9" t="n">
        <v>3200</v>
      </c>
      <c r="F11" s="7" t="s">
        <v>57</v>
      </c>
      <c r="G11" s="7"/>
    </row>
    <row r="12" customFormat="false" ht="15" hidden="false" customHeight="false" outlineLevel="0" collapsed="false">
      <c r="A12" s="7" t="s">
        <v>69</v>
      </c>
      <c r="B12" s="8" t="n">
        <v>45945</v>
      </c>
      <c r="C12" s="7" t="s">
        <v>51</v>
      </c>
      <c r="D12" s="7" t="s">
        <v>52</v>
      </c>
      <c r="E12" s="9" t="n">
        <v>2800</v>
      </c>
      <c r="F12" s="7" t="s">
        <v>53</v>
      </c>
      <c r="G12" s="7"/>
    </row>
    <row r="13" customFormat="false" ht="15" hidden="false" customHeight="false" outlineLevel="0" collapsed="false">
      <c r="A13" s="7" t="s">
        <v>70</v>
      </c>
      <c r="B13" s="8" t="n">
        <v>45946</v>
      </c>
      <c r="C13" s="7" t="s">
        <v>55</v>
      </c>
      <c r="D13" s="7" t="s">
        <v>56</v>
      </c>
      <c r="E13" s="9" t="n">
        <v>2600</v>
      </c>
      <c r="F13" s="7" t="s">
        <v>57</v>
      </c>
      <c r="G13" s="7"/>
    </row>
    <row r="14" customFormat="false" ht="15" hidden="false" customHeight="false" outlineLevel="0" collapsed="false">
      <c r="A14" s="7" t="s">
        <v>71</v>
      </c>
      <c r="B14" s="8" t="n">
        <v>45958</v>
      </c>
      <c r="C14" s="7" t="s">
        <v>65</v>
      </c>
      <c r="D14" s="7" t="s">
        <v>60</v>
      </c>
      <c r="E14" s="9" t="n">
        <v>2400</v>
      </c>
      <c r="F14" s="10" t="s">
        <v>40</v>
      </c>
      <c r="G14" s="7" t="s">
        <v>66</v>
      </c>
    </row>
    <row r="15" customFormat="false" ht="15" hidden="false" customHeight="false" outlineLevel="0" collapsed="false">
      <c r="A15" s="7" t="s">
        <v>72</v>
      </c>
      <c r="B15" s="8" t="n">
        <v>45964</v>
      </c>
      <c r="C15" s="7" t="s">
        <v>51</v>
      </c>
      <c r="D15" s="7" t="s">
        <v>52</v>
      </c>
      <c r="E15" s="9" t="n">
        <v>9500</v>
      </c>
      <c r="F15" s="7" t="s">
        <v>73</v>
      </c>
      <c r="G15" s="7" t="s">
        <v>74</v>
      </c>
    </row>
    <row r="16" customFormat="false" ht="15" hidden="false" customHeight="false" outlineLevel="0" collapsed="false">
      <c r="A16" s="7" t="s">
        <v>75</v>
      </c>
      <c r="B16" s="8" t="n">
        <v>45965</v>
      </c>
      <c r="C16" s="7" t="s">
        <v>51</v>
      </c>
      <c r="D16" s="7" t="s">
        <v>52</v>
      </c>
      <c r="E16" s="9" t="n">
        <v>9800</v>
      </c>
      <c r="F16" s="7" t="s">
        <v>73</v>
      </c>
      <c r="G16" s="7"/>
    </row>
    <row r="17" customFormat="false" ht="15" hidden="false" customHeight="false" outlineLevel="0" collapsed="false">
      <c r="A17" s="7" t="s">
        <v>76</v>
      </c>
      <c r="B17" s="8" t="n">
        <v>45966</v>
      </c>
      <c r="C17" s="7" t="s">
        <v>51</v>
      </c>
      <c r="D17" s="7" t="s">
        <v>52</v>
      </c>
      <c r="E17" s="9" t="n">
        <v>9200</v>
      </c>
      <c r="F17" s="7" t="s">
        <v>73</v>
      </c>
      <c r="G17" s="7"/>
    </row>
    <row r="18" customFormat="false" ht="15" hidden="false" customHeight="false" outlineLevel="0" collapsed="false">
      <c r="A18" s="7" t="s">
        <v>77</v>
      </c>
      <c r="B18" s="8" t="n">
        <v>45967</v>
      </c>
      <c r="C18" s="7" t="s">
        <v>51</v>
      </c>
      <c r="D18" s="7" t="s">
        <v>52</v>
      </c>
      <c r="E18" s="9" t="n">
        <v>15000</v>
      </c>
      <c r="F18" s="7" t="s">
        <v>73</v>
      </c>
      <c r="G18" s="7"/>
    </row>
    <row r="19" customFormat="false" ht="15" hidden="false" customHeight="false" outlineLevel="0" collapsed="false">
      <c r="A19" s="7" t="s">
        <v>78</v>
      </c>
      <c r="B19" s="8" t="n">
        <v>45968</v>
      </c>
      <c r="C19" s="7" t="s">
        <v>51</v>
      </c>
      <c r="D19" s="7" t="s">
        <v>52</v>
      </c>
      <c r="E19" s="9" t="n">
        <v>12000</v>
      </c>
      <c r="F19" s="7" t="s">
        <v>73</v>
      </c>
      <c r="G19" s="7"/>
    </row>
    <row r="20" customFormat="false" ht="15" hidden="false" customHeight="false" outlineLevel="0" collapsed="false">
      <c r="A20" s="7" t="s">
        <v>79</v>
      </c>
      <c r="B20" s="8" t="n">
        <v>45969</v>
      </c>
      <c r="C20" s="7" t="s">
        <v>51</v>
      </c>
      <c r="D20" s="7" t="s">
        <v>52</v>
      </c>
      <c r="E20" s="9" t="n">
        <v>9900</v>
      </c>
      <c r="F20" s="7" t="s">
        <v>73</v>
      </c>
      <c r="G20" s="7"/>
    </row>
    <row r="21" customFormat="false" ht="15" hidden="false" customHeight="false" outlineLevel="0" collapsed="false">
      <c r="A21" s="7" t="s">
        <v>80</v>
      </c>
      <c r="B21" s="8" t="n">
        <v>45971</v>
      </c>
      <c r="C21" s="7" t="s">
        <v>51</v>
      </c>
      <c r="D21" s="7" t="s">
        <v>52</v>
      </c>
      <c r="E21" s="9" t="n">
        <v>19600</v>
      </c>
      <c r="F21" s="7" t="s">
        <v>73</v>
      </c>
      <c r="G21" s="7"/>
    </row>
    <row r="22" customFormat="false" ht="15" hidden="false" customHeight="false" outlineLevel="0" collapsed="false">
      <c r="A22" s="7" t="s">
        <v>81</v>
      </c>
      <c r="B22" s="8" t="n">
        <v>45972</v>
      </c>
      <c r="C22" s="7" t="s">
        <v>55</v>
      </c>
      <c r="D22" s="7" t="s">
        <v>56</v>
      </c>
      <c r="E22" s="9" t="n">
        <v>40000</v>
      </c>
      <c r="F22" s="7" t="s">
        <v>57</v>
      </c>
      <c r="G22" s="7"/>
    </row>
    <row r="23" customFormat="false" ht="15" hidden="false" customHeight="false" outlineLevel="0" collapsed="false">
      <c r="A23" s="7" t="s">
        <v>82</v>
      </c>
      <c r="B23" s="8" t="n">
        <v>45972</v>
      </c>
      <c r="C23" s="7" t="s">
        <v>55</v>
      </c>
      <c r="D23" s="7" t="s">
        <v>60</v>
      </c>
      <c r="E23" s="9" t="n">
        <v>35000</v>
      </c>
      <c r="F23" s="7" t="s">
        <v>57</v>
      </c>
      <c r="G23" s="7"/>
    </row>
    <row r="24" customFormat="false" ht="15" hidden="false" customHeight="false" outlineLevel="0" collapsed="false">
      <c r="A24" s="7" t="s">
        <v>83</v>
      </c>
      <c r="B24" s="8" t="n">
        <v>45973</v>
      </c>
      <c r="C24" s="7" t="s">
        <v>65</v>
      </c>
      <c r="D24" s="7" t="s">
        <v>56</v>
      </c>
      <c r="E24" s="9" t="n">
        <v>38000</v>
      </c>
      <c r="F24" s="10" t="s">
        <v>84</v>
      </c>
      <c r="G24" s="7" t="s">
        <v>85</v>
      </c>
    </row>
    <row r="25" customFormat="false" ht="15" hidden="false" customHeight="false" outlineLevel="0" collapsed="false">
      <c r="A25" s="7" t="s">
        <v>86</v>
      </c>
      <c r="B25" s="8" t="n">
        <v>45974</v>
      </c>
      <c r="C25" s="7" t="s">
        <v>65</v>
      </c>
      <c r="D25" s="7" t="s">
        <v>60</v>
      </c>
      <c r="E25" s="9" t="n">
        <v>33500</v>
      </c>
      <c r="F25" s="10" t="s">
        <v>87</v>
      </c>
      <c r="G25" s="7" t="s">
        <v>85</v>
      </c>
    </row>
    <row r="26" customFormat="false" ht="15" hidden="false" customHeight="false" outlineLevel="0" collapsed="false">
      <c r="A26" s="7" t="s">
        <v>88</v>
      </c>
      <c r="B26" s="8" t="n">
        <v>45974</v>
      </c>
      <c r="C26" s="7" t="s">
        <v>65</v>
      </c>
      <c r="D26" s="7" t="s">
        <v>56</v>
      </c>
      <c r="E26" s="9" t="n">
        <v>2000</v>
      </c>
      <c r="F26" s="10" t="s">
        <v>40</v>
      </c>
      <c r="G26" s="7" t="s">
        <v>66</v>
      </c>
    </row>
  </sheetData>
  <autoFilter ref="A1:G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60"/>
  </cols>
  <sheetData>
    <row r="1" customFormat="false" ht="17.35" hidden="false" customHeight="false" outlineLevel="0" collapsed="false">
      <c r="A1" s="2" t="s">
        <v>89</v>
      </c>
    </row>
    <row r="3" customFormat="false" ht="15" hidden="false" customHeight="false" outlineLevel="0" collapsed="false">
      <c r="A3" s="4" t="s">
        <v>90</v>
      </c>
      <c r="B3" s="3" t="s">
        <v>91</v>
      </c>
    </row>
    <row r="4" customFormat="false" ht="15" hidden="false" customHeight="false" outlineLevel="0" collapsed="false">
      <c r="A4" s="4" t="s">
        <v>92</v>
      </c>
      <c r="B4" s="3" t="s">
        <v>93</v>
      </c>
    </row>
    <row r="5" customFormat="false" ht="15" hidden="false" customHeight="false" outlineLevel="0" collapsed="false">
      <c r="A5" s="4" t="s">
        <v>94</v>
      </c>
      <c r="B5" s="3" t="s">
        <v>95</v>
      </c>
    </row>
    <row r="6" customFormat="false" ht="15" hidden="false" customHeight="false" outlineLevel="0" collapsed="false">
      <c r="A6" s="4" t="s">
        <v>96</v>
      </c>
      <c r="B6" s="3" t="s">
        <v>97</v>
      </c>
    </row>
    <row r="7" customFormat="false" ht="23.85" hidden="false" customHeight="false" outlineLevel="0" collapsed="false">
      <c r="A7" s="4" t="s">
        <v>98</v>
      </c>
      <c r="B7" s="3" t="s">
        <v>99</v>
      </c>
    </row>
    <row r="8" customFormat="false" ht="15" hidden="false" customHeight="false" outlineLevel="0" collapsed="false">
      <c r="A8" s="4" t="s">
        <v>100</v>
      </c>
      <c r="B8" s="3" t="s">
        <v>101</v>
      </c>
    </row>
    <row r="9" customFormat="false" ht="15" hidden="false" customHeight="false" outlineLevel="0" collapsed="false">
      <c r="A9" s="4" t="s">
        <v>102</v>
      </c>
      <c r="B9" s="3" t="s">
        <v>103</v>
      </c>
    </row>
    <row r="10" customFormat="false" ht="15" hidden="false" customHeight="false" outlineLevel="0" collapsed="false">
      <c r="A10" s="4" t="s">
        <v>104</v>
      </c>
      <c r="B10" s="3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6" min="6" style="1" width="17"/>
  </cols>
  <sheetData>
    <row r="1" customFormat="false" ht="23.85" hidden="false" customHeight="false" outlineLevel="0" collapsed="false">
      <c r="A1" s="6" t="s">
        <v>106</v>
      </c>
      <c r="B1" s="6" t="s">
        <v>107</v>
      </c>
      <c r="C1" s="6" t="s">
        <v>108</v>
      </c>
      <c r="D1" s="6" t="s">
        <v>109</v>
      </c>
      <c r="E1" s="6" t="s">
        <v>110</v>
      </c>
      <c r="F1" s="6" t="s">
        <v>111</v>
      </c>
    </row>
    <row r="2" customFormat="false" ht="15" hidden="false" customHeight="false" outlineLevel="0" collapsed="false">
      <c r="A2" s="10" t="s">
        <v>40</v>
      </c>
      <c r="B2" s="7" t="s">
        <v>112</v>
      </c>
      <c r="C2" s="7" t="n">
        <v>5</v>
      </c>
      <c r="D2" s="7" t="s">
        <v>113</v>
      </c>
      <c r="E2" s="7" t="s">
        <v>114</v>
      </c>
      <c r="F2" s="7" t="s">
        <v>93</v>
      </c>
    </row>
    <row r="3" customFormat="false" ht="15" hidden="false" customHeight="false" outlineLevel="0" collapsed="false">
      <c r="A3" s="10" t="s">
        <v>84</v>
      </c>
      <c r="B3" s="7" t="s">
        <v>112</v>
      </c>
      <c r="C3" s="7" t="n">
        <v>97</v>
      </c>
      <c r="D3" s="7" t="s">
        <v>115</v>
      </c>
      <c r="E3" s="7" t="s">
        <v>116</v>
      </c>
      <c r="F3" s="7" t="s">
        <v>93</v>
      </c>
    </row>
    <row r="4" customFormat="false" ht="15" hidden="false" customHeight="false" outlineLevel="0" collapsed="false">
      <c r="A4" s="10" t="s">
        <v>87</v>
      </c>
      <c r="B4" s="7" t="s">
        <v>112</v>
      </c>
      <c r="C4" s="7" t="n">
        <v>74</v>
      </c>
      <c r="D4" s="7" t="s">
        <v>103</v>
      </c>
      <c r="E4" s="7" t="s">
        <v>117</v>
      </c>
      <c r="F4" s="7" t="s">
        <v>93</v>
      </c>
    </row>
  </sheetData>
  <autoFilter ref="A1:F4"/>
  <conditionalFormatting sqref="A2:F4">
    <cfRule type="expression" priority="2" aboveAverage="0" equalAverage="0" bottom="0" percent="0" rank="0" text="" dxfId="9">
      <formula>$D2="Severe"</formula>
    </cfRule>
    <cfRule type="expression" priority="3" aboveAverage="0" equalAverage="0" bottom="0" percent="0" rank="0" text="" dxfId="10">
      <formula>$D2="High"</formula>
    </cfRule>
    <cfRule type="expression" priority="4" aboveAverage="0" equalAverage="0" bottom="0" percent="0" rank="0" text="" dxfId="11">
      <formula>$D2="Low"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34"/>
    <col collapsed="false" customWidth="true" hidden="false" outlineLevel="0" max="4" min="3" style="1" width="20"/>
    <col collapsed="false" customWidth="true" hidden="false" outlineLevel="0" max="5" min="5" style="1" width="46"/>
  </cols>
  <sheetData>
    <row r="1" customFormat="false" ht="17.3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4" t="s">
        <v>119</v>
      </c>
    </row>
    <row r="4" customFormat="false" ht="15" hidden="false" customHeight="false" outlineLevel="0" collapsed="false">
      <c r="A4" s="7" t="s">
        <v>120</v>
      </c>
      <c r="B4" s="9" t="n">
        <f aca="false">Customer_Profile!B10</f>
        <v>4000</v>
      </c>
    </row>
    <row r="5" customFormat="false" ht="15" hidden="false" customHeight="false" outlineLevel="0" collapsed="false">
      <c r="A5" s="7" t="s">
        <v>121</v>
      </c>
      <c r="B5" s="9" t="n">
        <f aca="false">Customer_Profile!B11</f>
        <v>6000</v>
      </c>
    </row>
    <row r="6" customFormat="false" ht="15" hidden="false" customHeight="false" outlineLevel="0" collapsed="false">
      <c r="A6" s="7" t="s">
        <v>122</v>
      </c>
      <c r="B6" s="9" t="n">
        <f aca="false">SUMIFS(Platform_Activity!$E$2:$E$26,Platform_Activity!$C$2:$C$26,"Fiat Deposit",Platform_Activity!$B$2:$B$26,"&gt;="&amp;DATE(2025,8,1),Platform_Activity!$B$2:$B$26,"&lt;="&amp;DATE(2025,8,31))</f>
        <v>4500</v>
      </c>
    </row>
    <row r="7" customFormat="false" ht="15" hidden="false" customHeight="false" outlineLevel="0" collapsed="false">
      <c r="A7" s="7" t="s">
        <v>123</v>
      </c>
      <c r="B7" s="9" t="n">
        <f aca="false">SUMIFS(Platform_Activity!$E$2:$E$26,Platform_Activity!$C$2:$C$26,"Fiat Deposit",Platform_Activity!$B$2:$B$26,"&gt;="&amp;DATE(2025,9,1),Platform_Activity!$B$2:$B$26,"&lt;="&amp;DATE(2025,9,30))</f>
        <v>5000</v>
      </c>
    </row>
    <row r="8" customFormat="false" ht="15" hidden="false" customHeight="false" outlineLevel="0" collapsed="false">
      <c r="A8" s="7" t="s">
        <v>124</v>
      </c>
      <c r="B8" s="9" t="n">
        <f aca="false">SUMIFS(Platform_Activity!$E$2:$E$26,Platform_Activity!$C$2:$C$26,"Fiat Deposit",Platform_Activity!$B$2:$B$26,"&gt;="&amp;DATE(2025,10,1),Platform_Activity!$B$2:$B$26,"&lt;="&amp;DATE(2025,10,31))</f>
        <v>6300</v>
      </c>
    </row>
    <row r="9" customFormat="false" ht="15" hidden="false" customHeight="false" outlineLevel="0" collapsed="false">
      <c r="A9" s="7" t="s">
        <v>125</v>
      </c>
      <c r="B9" s="9" t="n">
        <f aca="false">AVERAGE(B6:B8)</f>
        <v>5266.66666666667</v>
      </c>
    </row>
    <row r="10" customFormat="false" ht="15" hidden="false" customHeight="false" outlineLevel="0" collapsed="false">
      <c r="A10" s="7" t="s">
        <v>126</v>
      </c>
      <c r="B10" s="9" t="n">
        <f aca="false">SUMIFS(Platform_Activity!$E$2:$E$26,Platform_Activity!$C$2:$C$26,"Fiat Deposit",Platform_Activity!$B$2:$B$26,"&gt;="&amp;DATE(2025,11,1),Platform_Activity!$B$2:$B$26,"&lt;="&amp;DATE(2025,11,30))</f>
        <v>85000</v>
      </c>
    </row>
    <row r="11" customFormat="false" ht="15" hidden="false" customHeight="false" outlineLevel="0" collapsed="false">
      <c r="A11" s="4" t="s">
        <v>127</v>
      </c>
      <c r="B11" s="11" t="n">
        <f aca="false">(B10-B9)/B9</f>
        <v>15.1392405063291</v>
      </c>
    </row>
    <row r="12" customFormat="false" ht="15" hidden="false" customHeight="false" outlineLevel="0" collapsed="false">
      <c r="A12" s="7" t="s">
        <v>128</v>
      </c>
      <c r="B12" s="7" t="str">
        <f aca="false">IF(B11&gt;3,"YES - SEVERE DEVIATION","NO")</f>
        <v>YES - SEVERE DEVIATION</v>
      </c>
    </row>
    <row r="14" customFormat="false" ht="15" hidden="false" customHeight="false" outlineLevel="0" collapsed="false">
      <c r="A14" s="4" t="s">
        <v>129</v>
      </c>
    </row>
    <row r="15" customFormat="false" ht="15" hidden="false" customHeight="false" outlineLevel="0" collapsed="false">
      <c r="A15" s="7" t="s">
        <v>130</v>
      </c>
      <c r="B15" s="7" t="n">
        <f aca="false">COUNTIFS(Platform_Activity!$F$2:$F$26,"ACH Bank Transfer",Platform_Activity!$B$2:$B$26,"&lt;"&amp;DATE(2025,11,1))</f>
        <v>6</v>
      </c>
    </row>
    <row r="16" customFormat="false" ht="15" hidden="false" customHeight="false" outlineLevel="0" collapsed="false">
      <c r="A16" s="7" t="s">
        <v>131</v>
      </c>
      <c r="B16" s="7" t="n">
        <f aca="false">COUNTIFS(Platform_Activity!$F$2:$F$26,"Wire Transfer",Platform_Activity!$B$2:$B$26,"&gt;="&amp;DATE(2025,11,1))</f>
        <v>7</v>
      </c>
    </row>
    <row r="17" customFormat="false" ht="15" hidden="false" customHeight="false" outlineLevel="0" collapsed="false">
      <c r="A17" s="7" t="s">
        <v>132</v>
      </c>
      <c r="B17" s="7" t="str">
        <f aca="false">IF(AND(B15&gt;0,B16&gt;0),"YES","NO")</f>
        <v>YES</v>
      </c>
    </row>
    <row r="19" customFormat="false" ht="15" hidden="false" customHeight="false" outlineLevel="0" collapsed="false">
      <c r="A19" s="4" t="s">
        <v>133</v>
      </c>
    </row>
    <row r="20" customFormat="false" ht="15" hidden="false" customHeight="false" outlineLevel="0" collapsed="false">
      <c r="A20" s="7" t="s">
        <v>134</v>
      </c>
      <c r="B20" s="7" t="n">
        <f aca="false">COUNTIFS(Platform_Activity!$C$2:$C$26,"Fiat Deposit",Platform_Activity!$E$2:$E$26,"&gt;=9000",Platform_Activity!$E$2:$E$26,"&lt;10000",Platform_Activity!$B$2:$B$26,"&gt;="&amp;DATE(2025,11,1))</f>
        <v>4</v>
      </c>
    </row>
    <row r="21" customFormat="false" ht="15" hidden="false" customHeight="false" outlineLevel="0" collapsed="false">
      <c r="A21" s="7" t="s">
        <v>135</v>
      </c>
      <c r="B21" s="7" t="str">
        <f aca="false">IF(B20&gt;=3,"YES - POSSIBLE STRUCTURING","NO")</f>
        <v>YES - POSSIBLE STRUCTURING</v>
      </c>
    </row>
    <row r="23" customFormat="false" ht="15" hidden="false" customHeight="false" outlineLevel="0" collapsed="false">
      <c r="A23" s="4" t="s">
        <v>136</v>
      </c>
    </row>
    <row r="24" customFormat="false" ht="15" hidden="false" customHeight="false" outlineLevel="0" collapsed="false">
      <c r="A24" s="6" t="s">
        <v>43</v>
      </c>
      <c r="B24" s="6" t="s">
        <v>137</v>
      </c>
      <c r="C24" s="6" t="s">
        <v>47</v>
      </c>
      <c r="D24" s="6" t="s">
        <v>109</v>
      </c>
      <c r="E24" s="6" t="s">
        <v>110</v>
      </c>
    </row>
    <row r="25" customFormat="false" ht="15" hidden="false" customHeight="false" outlineLevel="0" collapsed="false">
      <c r="A25" s="7" t="s">
        <v>83</v>
      </c>
      <c r="B25" s="10" t="s">
        <v>84</v>
      </c>
      <c r="C25" s="9" t="n">
        <v>38000</v>
      </c>
      <c r="D25" s="7" t="str">
        <f aca="false">INDEX(Wallet_Risk_Screening!$D$2:$D$4,MATCH(B25,Wallet_Risk_Screening!$A$2:$A$4,0))</f>
        <v>Severe</v>
      </c>
      <c r="E25" s="7" t="str">
        <f aca="false">INDEX(Wallet_Risk_Screening!$E$2:$E$4,MATCH(B25,Wallet_Risk_Screening!$A$2:$A$4,0))</f>
        <v>Direct: Darknet Marketplace</v>
      </c>
    </row>
    <row r="26" customFormat="false" ht="15" hidden="false" customHeight="false" outlineLevel="0" collapsed="false">
      <c r="A26" s="7" t="s">
        <v>86</v>
      </c>
      <c r="B26" s="10" t="s">
        <v>87</v>
      </c>
      <c r="C26" s="9" t="n">
        <v>33500</v>
      </c>
      <c r="D26" s="7" t="str">
        <f aca="false">INDEX(Wallet_Risk_Screening!$D$2:$D$4,MATCH(B26,Wallet_Risk_Screening!$A$2:$A$4,0))</f>
        <v>High</v>
      </c>
      <c r="E26" s="7" t="str">
        <f aca="false">INDEX(Wallet_Risk_Screening!$E$2:$E$4,MATCH(B26,Wallet_Risk_Screening!$A$2:$A$4,0))</f>
        <v>Indirect: Mixing Service (2 hops)</v>
      </c>
    </row>
    <row r="27" customFormat="false" ht="15" hidden="false" customHeight="false" outlineLevel="0" collapsed="false">
      <c r="A27" s="7" t="s">
        <v>88</v>
      </c>
      <c r="B27" s="10" t="s">
        <v>40</v>
      </c>
      <c r="C27" s="9" t="n">
        <v>2000</v>
      </c>
      <c r="D27" s="7" t="str">
        <f aca="false">INDEX(Wallet_Risk_Screening!$D$2:$D$4,MATCH(B27,Wallet_Risk_Screening!$A$2:$A$4,0))</f>
        <v>Low</v>
      </c>
      <c r="E27" s="7" t="str">
        <f aca="false">INDEX(Wallet_Risk_Screening!$E$2:$E$4,MATCH(B27,Wallet_Risk_Screening!$A$2:$A$4,0))</f>
        <v>None - customer-attributed wallet, ownership verified</v>
      </c>
    </row>
    <row r="29" customFormat="false" ht="15" hidden="false" customHeight="false" outlineLevel="0" collapsed="false">
      <c r="A29" s="7" t="s">
        <v>138</v>
      </c>
      <c r="B29" s="7" t="str">
        <f aca="false">IF(COUNTIF(D25:D27,"Severe")&gt;0,"Severe",IF(COUNTIF(D25:D27,"High")&gt;0,"High",IF(COUNTIF(D25:D27,"Medium")&gt;0,"Medium","Low")))</f>
        <v>Severe</v>
      </c>
    </row>
    <row r="31" customFormat="false" ht="15" hidden="false" customHeight="false" outlineLevel="0" collapsed="false">
      <c r="A31" s="4" t="s">
        <v>139</v>
      </c>
    </row>
    <row r="32" customFormat="false" ht="15" hidden="false" customHeight="false" outlineLevel="0" collapsed="false">
      <c r="A32" s="7" t="s">
        <v>140</v>
      </c>
      <c r="B32" s="7" t="n">
        <f aca="false">IF(B12="YES - SEVERE DEVIATION",40,0)</f>
        <v>40</v>
      </c>
    </row>
    <row r="33" customFormat="false" ht="15" hidden="false" customHeight="false" outlineLevel="0" collapsed="false">
      <c r="A33" s="7" t="s">
        <v>141</v>
      </c>
      <c r="B33" s="7" t="n">
        <f aca="false">IF(B29="Severe",40,IF(B29="High",25,IF(B29="Medium",10,0)))</f>
        <v>40</v>
      </c>
    </row>
    <row r="34" customFormat="false" ht="15" hidden="false" customHeight="false" outlineLevel="0" collapsed="false">
      <c r="A34" s="7" t="s">
        <v>142</v>
      </c>
      <c r="B34" s="7" t="n">
        <f aca="false">IF(B21="YES - POSSIBLE STRUCTURING",15,0)</f>
        <v>15</v>
      </c>
    </row>
    <row r="35" customFormat="false" ht="15" hidden="false" customHeight="false" outlineLevel="0" collapsed="false">
      <c r="A35" s="7" t="s">
        <v>143</v>
      </c>
      <c r="B35" s="7" t="n">
        <f aca="false">IF(B17="YES",10,0)</f>
        <v>10</v>
      </c>
    </row>
    <row r="36" customFormat="false" ht="15" hidden="false" customHeight="false" outlineLevel="0" collapsed="false">
      <c r="A36" s="4" t="s">
        <v>144</v>
      </c>
      <c r="B36" s="12" t="n">
        <f aca="false">SUM(B32:B35)</f>
        <v>105</v>
      </c>
    </row>
    <row r="37" customFormat="false" ht="39.75" hidden="false" customHeight="true" outlineLevel="0" collapsed="false">
      <c r="A37" s="4" t="s">
        <v>145</v>
      </c>
      <c r="B37" s="13" t="str">
        <f aca="false">IF(B36&gt;=70,"HIGH RISK — File SAR; restrict withdrawals pending review; escalate for law enforcement referral consideration",IF(B36&gt;=40,"MEDIUM-HIGH — Enhanced Due Diligence required; request RFI; senior analyst review","LOW-MEDIUM — Continue standard monitoring"))</f>
        <v>HIGH RISK — File SAR; restrict withdrawals pending review; escalate for law enforcement referral consideration</v>
      </c>
    </row>
  </sheetData>
  <conditionalFormatting sqref="A25:E27">
    <cfRule type="expression" priority="2" aboveAverage="0" equalAverage="0" bottom="0" percent="0" rank="0" text="" dxfId="9">
      <formula>$D25="Severe"</formula>
    </cfRule>
    <cfRule type="expression" priority="3" aboveAverage="0" equalAverage="0" bottom="0" percent="0" rank="0" text="" dxfId="10">
      <formula>$D25="High"</formula>
    </cfRule>
    <cfRule type="expression" priority="4" aboveAverage="0" equalAverage="0" bottom="0" percent="0" rank="0" text="" dxfId="11">
      <formula>$D25="Low"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2026-09-30T11:48:42Z</dcterms:created>
  <dc:creator>openpyxl</dc:creator>
  <dc:description/>
  <dc:language>en-US</dc:language>
  <cp:lastModifiedBy/>
  <dcterms:modified xsi:type="dcterms:W3CDTF">2026-09-30T11:48:42Z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